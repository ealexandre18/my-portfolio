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wan Alexandre\Desktop\TP Excel\"/>
    </mc:Choice>
  </mc:AlternateContent>
  <xr:revisionPtr revIDLastSave="0" documentId="13_ncr:1_{80AA029A-E561-47B4-87FE-4255917FABD5}" xr6:coauthVersionLast="47" xr6:coauthVersionMax="47" xr10:uidLastSave="{00000000-0000-0000-0000-000000000000}"/>
  <bookViews>
    <workbookView xWindow="-110" yWindow="-110" windowWidth="19420" windowHeight="12220" activeTab="2" xr2:uid="{00000000-000D-0000-FFFF-FFFF00000000}"/>
  </bookViews>
  <sheets>
    <sheet name="données" sheetId="1" r:id="rId1"/>
    <sheet name="bilan2016" sheetId="2" r:id="rId2"/>
    <sheet name="simulation aide de l'éta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2" l="1"/>
  <c r="J14" i="3"/>
  <c r="M13" i="3"/>
  <c r="L13" i="3"/>
  <c r="K13" i="3"/>
  <c r="J13" i="3"/>
  <c r="I13" i="3"/>
  <c r="H13" i="3"/>
  <c r="G13" i="3"/>
  <c r="F13" i="3"/>
  <c r="E13" i="3"/>
  <c r="D13" i="3"/>
  <c r="C13" i="3"/>
  <c r="B13" i="3"/>
  <c r="N13" i="3" s="1"/>
  <c r="M12" i="3"/>
  <c r="L12" i="3"/>
  <c r="K12" i="3"/>
  <c r="J12" i="3"/>
  <c r="I12" i="3"/>
  <c r="N12" i="3" s="1"/>
  <c r="H12" i="3"/>
  <c r="G12" i="3"/>
  <c r="F12" i="3"/>
  <c r="E12" i="3"/>
  <c r="D12" i="3"/>
  <c r="C12" i="3"/>
  <c r="B12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M10" i="3"/>
  <c r="L10" i="3"/>
  <c r="K10" i="3"/>
  <c r="J10" i="3"/>
  <c r="I10" i="3"/>
  <c r="H10" i="3"/>
  <c r="G10" i="3"/>
  <c r="F10" i="3"/>
  <c r="N10" i="3" s="1"/>
  <c r="E10" i="3"/>
  <c r="D10" i="3"/>
  <c r="C10" i="3"/>
  <c r="B10" i="3"/>
  <c r="N9" i="3"/>
  <c r="M9" i="3"/>
  <c r="L9" i="3"/>
  <c r="K9" i="3"/>
  <c r="J9" i="3"/>
  <c r="I9" i="3"/>
  <c r="H9" i="3"/>
  <c r="G9" i="3"/>
  <c r="F9" i="3"/>
  <c r="E9" i="3"/>
  <c r="D9" i="3"/>
  <c r="C9" i="3"/>
  <c r="B9" i="3"/>
  <c r="M6" i="3"/>
  <c r="M15" i="3" s="1"/>
  <c r="L6" i="3"/>
  <c r="L15" i="3" s="1"/>
  <c r="K6" i="3"/>
  <c r="K15" i="3" s="1"/>
  <c r="J6" i="3"/>
  <c r="J15" i="3" s="1"/>
  <c r="I6" i="3"/>
  <c r="I15" i="3" s="1"/>
  <c r="H6" i="3"/>
  <c r="H15" i="3" s="1"/>
  <c r="G6" i="3"/>
  <c r="G15" i="3" s="1"/>
  <c r="F6" i="3"/>
  <c r="F15" i="3" s="1"/>
  <c r="E6" i="3"/>
  <c r="E15" i="3" s="1"/>
  <c r="D6" i="3"/>
  <c r="D15" i="3" s="1"/>
  <c r="C6" i="3"/>
  <c r="C15" i="3" s="1"/>
  <c r="B6" i="3"/>
  <c r="M5" i="3"/>
  <c r="L5" i="3"/>
  <c r="K5" i="3"/>
  <c r="J5" i="3"/>
  <c r="I5" i="3"/>
  <c r="H5" i="3"/>
  <c r="G5" i="3"/>
  <c r="F5" i="3"/>
  <c r="E5" i="3"/>
  <c r="D5" i="3"/>
  <c r="C5" i="3"/>
  <c r="B5" i="3"/>
  <c r="N5" i="3" s="1"/>
  <c r="M4" i="3"/>
  <c r="L4" i="3"/>
  <c r="K4" i="3"/>
  <c r="J4" i="3"/>
  <c r="I4" i="3"/>
  <c r="H4" i="3"/>
  <c r="G4" i="3"/>
  <c r="F4" i="3"/>
  <c r="E4" i="3"/>
  <c r="D4" i="3"/>
  <c r="C4" i="3"/>
  <c r="B4" i="3"/>
  <c r="N4" i="3" s="1"/>
  <c r="M3" i="3"/>
  <c r="N3" i="3" s="1"/>
  <c r="L3" i="3"/>
  <c r="K3" i="3"/>
  <c r="J3" i="3"/>
  <c r="I3" i="3"/>
  <c r="H3" i="3"/>
  <c r="G3" i="3"/>
  <c r="F3" i="3"/>
  <c r="E3" i="3"/>
  <c r="D3" i="3"/>
  <c r="C3" i="3"/>
  <c r="B3" i="3"/>
  <c r="N2" i="3"/>
  <c r="M2" i="3"/>
  <c r="L2" i="3"/>
  <c r="K2" i="3"/>
  <c r="J2" i="3"/>
  <c r="J7" i="3" s="1"/>
  <c r="I2" i="3"/>
  <c r="H2" i="3"/>
  <c r="G2" i="3"/>
  <c r="F2" i="3"/>
  <c r="E2" i="3"/>
  <c r="D2" i="3"/>
  <c r="C2" i="3"/>
  <c r="B2" i="3"/>
  <c r="C11" i="1"/>
  <c r="C10" i="1"/>
  <c r="C12" i="1" s="1"/>
  <c r="B9" i="1"/>
  <c r="B12" i="1" s="1"/>
  <c r="B8" i="1"/>
  <c r="C7" i="1"/>
  <c r="C6" i="1"/>
  <c r="B5" i="1"/>
  <c r="C4" i="1"/>
  <c r="B15" i="2"/>
  <c r="N15" i="2" s="1"/>
  <c r="M13" i="2"/>
  <c r="L13" i="2"/>
  <c r="K13" i="2"/>
  <c r="J13" i="2"/>
  <c r="I13" i="2"/>
  <c r="H13" i="2"/>
  <c r="G13" i="2"/>
  <c r="F13" i="2"/>
  <c r="E13" i="2"/>
  <c r="D13" i="2"/>
  <c r="C13" i="2"/>
  <c r="B13" i="2"/>
  <c r="N13" i="2" s="1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M10" i="2"/>
  <c r="L10" i="2"/>
  <c r="K10" i="2"/>
  <c r="N10" i="2" s="1"/>
  <c r="J10" i="2"/>
  <c r="I10" i="2"/>
  <c r="H10" i="2"/>
  <c r="G10" i="2"/>
  <c r="F10" i="2"/>
  <c r="E10" i="2"/>
  <c r="D10" i="2"/>
  <c r="C10" i="2"/>
  <c r="B10" i="2"/>
  <c r="N9" i="2"/>
  <c r="M9" i="2"/>
  <c r="L9" i="2"/>
  <c r="K9" i="2"/>
  <c r="J9" i="2"/>
  <c r="I9" i="2"/>
  <c r="H9" i="2"/>
  <c r="G9" i="2"/>
  <c r="F9" i="2"/>
  <c r="E9" i="2"/>
  <c r="D9" i="2"/>
  <c r="C9" i="2"/>
  <c r="B9" i="2"/>
  <c r="M6" i="2"/>
  <c r="L6" i="2"/>
  <c r="K6" i="2"/>
  <c r="J6" i="2"/>
  <c r="I6" i="2"/>
  <c r="H6" i="2"/>
  <c r="G6" i="2"/>
  <c r="N6" i="2" s="1"/>
  <c r="F6" i="2"/>
  <c r="E6" i="2"/>
  <c r="D6" i="2"/>
  <c r="C6" i="2"/>
  <c r="B6" i="2"/>
  <c r="N5" i="2"/>
  <c r="M5" i="2"/>
  <c r="M15" i="2" s="1"/>
  <c r="L5" i="2"/>
  <c r="L15" i="2" s="1"/>
  <c r="K5" i="2"/>
  <c r="K15" i="2" s="1"/>
  <c r="J5" i="2"/>
  <c r="J15" i="2" s="1"/>
  <c r="I5" i="2"/>
  <c r="I15" i="2" s="1"/>
  <c r="H5" i="2"/>
  <c r="H15" i="2" s="1"/>
  <c r="G5" i="2"/>
  <c r="G15" i="2" s="1"/>
  <c r="F5" i="2"/>
  <c r="F15" i="2" s="1"/>
  <c r="E5" i="2"/>
  <c r="E15" i="2" s="1"/>
  <c r="D5" i="2"/>
  <c r="D15" i="2" s="1"/>
  <c r="C5" i="2"/>
  <c r="C15" i="2" s="1"/>
  <c r="B5" i="2"/>
  <c r="M4" i="2"/>
  <c r="L4" i="2"/>
  <c r="K4" i="2"/>
  <c r="J4" i="2"/>
  <c r="I4" i="2"/>
  <c r="H4" i="2"/>
  <c r="G4" i="2"/>
  <c r="F4" i="2"/>
  <c r="E4" i="2"/>
  <c r="N4" i="2" s="1"/>
  <c r="D4" i="2"/>
  <c r="C4" i="2"/>
  <c r="B4" i="2"/>
  <c r="N3" i="2"/>
  <c r="M3" i="2"/>
  <c r="L3" i="2"/>
  <c r="K3" i="2"/>
  <c r="J3" i="2"/>
  <c r="I3" i="2"/>
  <c r="H3" i="2"/>
  <c r="G3" i="2"/>
  <c r="F3" i="2"/>
  <c r="E3" i="2"/>
  <c r="D3" i="2"/>
  <c r="C3" i="2"/>
  <c r="B3" i="2"/>
  <c r="M2" i="2"/>
  <c r="L2" i="2"/>
  <c r="K2" i="2"/>
  <c r="J2" i="2"/>
  <c r="I2" i="2"/>
  <c r="H2" i="2"/>
  <c r="G2" i="2"/>
  <c r="F2" i="2"/>
  <c r="E2" i="2"/>
  <c r="D2" i="2"/>
  <c r="C2" i="2"/>
  <c r="B2" i="2"/>
  <c r="B15" i="3" l="1"/>
  <c r="N15" i="3" s="1"/>
  <c r="N6" i="3"/>
  <c r="M7" i="3"/>
  <c r="M14" i="3"/>
  <c r="M16" i="3" s="1"/>
  <c r="L14" i="3"/>
  <c r="L16" i="3" s="1"/>
  <c r="L7" i="3"/>
  <c r="K14" i="3"/>
  <c r="K16" i="3" s="1"/>
  <c r="K7" i="3"/>
  <c r="I7" i="3"/>
  <c r="I14" i="3"/>
  <c r="I16" i="3" s="1"/>
  <c r="H7" i="3"/>
  <c r="H14" i="3"/>
  <c r="H16" i="3" s="1"/>
  <c r="G14" i="3"/>
  <c r="G16" i="3" s="1"/>
  <c r="G7" i="3"/>
  <c r="F7" i="3"/>
  <c r="F14" i="3"/>
  <c r="F16" i="3" s="1"/>
  <c r="E14" i="3"/>
  <c r="E16" i="3" s="1"/>
  <c r="E7" i="3"/>
  <c r="D7" i="3"/>
  <c r="D14" i="3"/>
  <c r="D16" i="3" s="1"/>
  <c r="C7" i="3"/>
  <c r="C14" i="3"/>
  <c r="C16" i="3" s="1"/>
  <c r="B7" i="3"/>
  <c r="B14" i="3"/>
  <c r="B8" i="3"/>
  <c r="C8" i="3"/>
  <c r="C17" i="3" s="1"/>
  <c r="I8" i="2"/>
  <c r="I17" i="2" s="1"/>
  <c r="K8" i="2"/>
  <c r="K17" i="2" s="1"/>
  <c r="D8" i="3"/>
  <c r="D17" i="3" s="1"/>
  <c r="E8" i="3"/>
  <c r="E17" i="3" s="1"/>
  <c r="F8" i="3"/>
  <c r="F17" i="3" s="1"/>
  <c r="G8" i="3"/>
  <c r="G17" i="3" s="1"/>
  <c r="H8" i="3"/>
  <c r="H17" i="3" s="1"/>
  <c r="I8" i="3"/>
  <c r="I17" i="3" s="1"/>
  <c r="J8" i="3"/>
  <c r="J17" i="3" s="1"/>
  <c r="J18" i="3" s="1"/>
  <c r="K8" i="3"/>
  <c r="K17" i="3" s="1"/>
  <c r="L8" i="3"/>
  <c r="L17" i="3" s="1"/>
  <c r="M8" i="3"/>
  <c r="B8" i="2"/>
  <c r="C8" i="2"/>
  <c r="D8" i="2"/>
  <c r="E8" i="2"/>
  <c r="F8" i="2"/>
  <c r="G8" i="2"/>
  <c r="H8" i="2"/>
  <c r="M8" i="2"/>
  <c r="J8" i="2"/>
  <c r="L8" i="2"/>
  <c r="M7" i="2"/>
  <c r="M14" i="2"/>
  <c r="M16" i="2" s="1"/>
  <c r="L14" i="2"/>
  <c r="L16" i="2" s="1"/>
  <c r="L7" i="2"/>
  <c r="K14" i="2"/>
  <c r="K16" i="2" s="1"/>
  <c r="K7" i="2"/>
  <c r="J14" i="2"/>
  <c r="J16" i="2" s="1"/>
  <c r="J7" i="2"/>
  <c r="I14" i="2"/>
  <c r="I16" i="2" s="1"/>
  <c r="I7" i="2"/>
  <c r="H14" i="2"/>
  <c r="H16" i="2" s="1"/>
  <c r="H7" i="2"/>
  <c r="G7" i="2"/>
  <c r="G14" i="2"/>
  <c r="G16" i="2" s="1"/>
  <c r="F7" i="2"/>
  <c r="F14" i="2"/>
  <c r="F16" i="2" s="1"/>
  <c r="E14" i="2"/>
  <c r="E16" i="2" s="1"/>
  <c r="E7" i="2"/>
  <c r="D14" i="2"/>
  <c r="D16" i="2" s="1"/>
  <c r="D7" i="2"/>
  <c r="C7" i="2"/>
  <c r="C14" i="2"/>
  <c r="C16" i="2" s="1"/>
  <c r="N2" i="2"/>
  <c r="B14" i="2"/>
  <c r="B7" i="2"/>
  <c r="J16" i="3"/>
  <c r="N7" i="3" l="1"/>
  <c r="B16" i="3"/>
  <c r="N16" i="3" s="1"/>
  <c r="N14" i="3"/>
  <c r="N8" i="3"/>
  <c r="B17" i="3"/>
  <c r="B18" i="3" s="1"/>
  <c r="N18" i="3" s="1"/>
  <c r="N8" i="2"/>
  <c r="B16" i="2"/>
  <c r="N14" i="2"/>
  <c r="N7" i="2"/>
  <c r="M17" i="3"/>
  <c r="M18" i="3" s="1"/>
  <c r="C17" i="2"/>
  <c r="C18" i="2" s="1"/>
  <c r="D17" i="2"/>
  <c r="D18" i="2" s="1"/>
  <c r="E17" i="2"/>
  <c r="E18" i="2" s="1"/>
  <c r="F17" i="2"/>
  <c r="F18" i="2" s="1"/>
  <c r="G17" i="2"/>
  <c r="G18" i="2" s="1"/>
  <c r="H17" i="2"/>
  <c r="H18" i="2" s="1"/>
  <c r="M17" i="2"/>
  <c r="M18" i="2" s="1"/>
  <c r="J17" i="2"/>
  <c r="J18" i="2" s="1"/>
  <c r="L17" i="2"/>
  <c r="L18" i="2" s="1"/>
  <c r="K18" i="2"/>
  <c r="I18" i="2"/>
  <c r="L18" i="3"/>
  <c r="K18" i="3"/>
  <c r="I18" i="3"/>
  <c r="H18" i="3"/>
  <c r="F18" i="3"/>
  <c r="D18" i="3"/>
  <c r="G18" i="3"/>
  <c r="E18" i="3"/>
  <c r="C18" i="3"/>
  <c r="N17" i="3" l="1"/>
  <c r="N16" i="2"/>
  <c r="B17" i="2"/>
  <c r="B18" i="2" l="1"/>
  <c r="N18" i="2" s="1"/>
</calcChain>
</file>

<file path=xl/sharedStrings.xml><?xml version="1.0" encoding="utf-8"?>
<sst xmlns="http://schemas.openxmlformats.org/spreadsheetml/2006/main" count="112" uniqueCount="61">
  <si>
    <t>Jan</t>
  </si>
  <si>
    <t>Fév</t>
  </si>
  <si>
    <t>Mars</t>
  </si>
  <si>
    <t>Avr</t>
  </si>
  <si>
    <t>Mai</t>
  </si>
  <si>
    <t>Juin</t>
  </si>
  <si>
    <t>Juil</t>
  </si>
  <si>
    <t>Août</t>
  </si>
  <si>
    <t>Sept</t>
  </si>
  <si>
    <t>Oct</t>
  </si>
  <si>
    <t>Nov</t>
  </si>
  <si>
    <t>Déc</t>
  </si>
  <si>
    <t>TOTAL</t>
  </si>
  <si>
    <t>CA menu 1</t>
  </si>
  <si>
    <t>CA menu 2</t>
  </si>
  <si>
    <t>CA menu 3</t>
  </si>
  <si>
    <t>CA soft</t>
  </si>
  <si>
    <t>CA alcool</t>
  </si>
  <si>
    <t>TOTAL CA</t>
  </si>
  <si>
    <t>Charge fixe</t>
  </si>
  <si>
    <t>matière 1ère menu 1</t>
  </si>
  <si>
    <t>matière 1ère menu 2</t>
  </si>
  <si>
    <t>matière 1ère menu 3</t>
  </si>
  <si>
    <t>matière 1ère soft</t>
  </si>
  <si>
    <t>matière 1ère alcool</t>
  </si>
  <si>
    <t>taxe menu</t>
  </si>
  <si>
    <t>taxe boisson</t>
  </si>
  <si>
    <t>charge variable</t>
  </si>
  <si>
    <t>total coûts</t>
  </si>
  <si>
    <t>Résultat</t>
  </si>
  <si>
    <t>Tableau des charges fixes</t>
  </si>
  <si>
    <t>Charges</t>
  </si>
  <si>
    <t>par mois</t>
  </si>
  <si>
    <t>par an</t>
  </si>
  <si>
    <t>loyer</t>
  </si>
  <si>
    <t>cuisine</t>
  </si>
  <si>
    <t>factures edf eau</t>
  </si>
  <si>
    <t>entretien</t>
  </si>
  <si>
    <t>publicité</t>
  </si>
  <si>
    <t>prime assurance</t>
  </si>
  <si>
    <t>emprunt bancaire</t>
  </si>
  <si>
    <t>personnel</t>
  </si>
  <si>
    <t>Tableau du prix des ventes</t>
  </si>
  <si>
    <t>Prix des ventes</t>
  </si>
  <si>
    <t>prix / vente</t>
  </si>
  <si>
    <t>menu 1</t>
  </si>
  <si>
    <t>menu 2</t>
  </si>
  <si>
    <t>menu 3</t>
  </si>
  <si>
    <t>soft</t>
  </si>
  <si>
    <t>alcool</t>
  </si>
  <si>
    <t>Tableau des matières premières</t>
  </si>
  <si>
    <t>Matières premières</t>
  </si>
  <si>
    <t>coût / vente</t>
  </si>
  <si>
    <t xml:space="preserve"> aide État</t>
  </si>
  <si>
    <t>aide État</t>
  </si>
  <si>
    <t>Tableau répartition des ventes sur 2016</t>
  </si>
  <si>
    <t>Type de vente</t>
  </si>
  <si>
    <t>Menu 1</t>
  </si>
  <si>
    <t>Menu 2</t>
  </si>
  <si>
    <t>Menu 3</t>
  </si>
  <si>
    <t>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</si>
</sst>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€"/>
  </numFmts>
  <fonts count="7" x14ac:knownFonts="1">
    <font>
      <sz val="11"/>
      <color theme="1"/>
      <name val="Calibri"/>
      <family val="2"/>
      <scheme val="minor"/>
    </font>
    <font>
      <b/>
      <sz val="12"/>
      <color rgb="FF1F4E78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right" vertical="center"/>
    </xf>
    <xf numFmtId="9" fontId="3" fillId="0" borderId="1" xfId="0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0" fillId="2" borderId="1" xfId="0" applyFont="1" applyFill="1" applyBorder="1"/>
    <xf numFmtId="0" fontId="6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sz val="11"/>
        <color rgb="FF006100"/>
        <name val="Calibri"/>
      </font>
      <fill>
        <patternFill patternType="solid">
          <fgColor rgb="FFC6EFCE"/>
          <bgColor rgb="FFC6EFCE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  <bgColor rgb="FFFFC7CE"/>
        </patternFill>
      </fill>
    </dxf>
    <dxf>
      <font>
        <b/>
        <sz val="11"/>
        <color rgb="FF006100"/>
        <name val="Calibri"/>
      </font>
      <fill>
        <patternFill patternType="solid">
          <fgColor rgb="FFC6EFCE"/>
          <bgColor rgb="FFC6EFCE"/>
        </patternFill>
      </fill>
    </dxf>
    <dxf>
      <font>
        <b/>
        <sz val="11"/>
        <color rgb="FF9C0006"/>
        <name val="Calibri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Résultat mensuel 2016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000">
              <a:solidFill>
                <a:srgbClr val="1E3A8A"/>
              </a:solidFill>
              <a:prstDash val="solid"/>
            </a:ln>
          </c:spPr>
          <c:marker>
            <c:symbol val="none"/>
          </c:marker>
          <c:cat>
            <c:strRef>
              <c:f>bilan2016!$B$1:$M$1</c:f>
              <c:strCache>
                <c:ptCount val="12"/>
                <c:pt idx="0">
                  <c:v>Jan</c:v>
                </c:pt>
                <c:pt idx="1">
                  <c:v>Fév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bilan2016!$B$18:$M$18</c:f>
              <c:numCache>
                <c:formatCode>#\ ##0.00\ \€</c:formatCode>
                <c:ptCount val="12"/>
                <c:pt idx="0">
                  <c:v>-2100.6666666666679</c:v>
                </c:pt>
                <c:pt idx="1">
                  <c:v>-1427.6666666666679</c:v>
                </c:pt>
                <c:pt idx="2">
                  <c:v>299.33333333333212</c:v>
                </c:pt>
                <c:pt idx="3">
                  <c:v>-1353.6666666666679</c:v>
                </c:pt>
                <c:pt idx="4">
                  <c:v>-234.66666666666788</c:v>
                </c:pt>
                <c:pt idx="5">
                  <c:v>439.33333333333212</c:v>
                </c:pt>
                <c:pt idx="6">
                  <c:v>-1327.6666666666679</c:v>
                </c:pt>
                <c:pt idx="7">
                  <c:v>-715.66666666666788</c:v>
                </c:pt>
                <c:pt idx="8">
                  <c:v>-2289.6666666666679</c:v>
                </c:pt>
                <c:pt idx="9">
                  <c:v>-1786.6666666666679</c:v>
                </c:pt>
                <c:pt idx="10">
                  <c:v>249.33333333333212</c:v>
                </c:pt>
                <c:pt idx="11">
                  <c:v>-1680.6666666666679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24-4D3E-A3E3-6F771878D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Mois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Résultat (€)</a:t>
                </a:r>
              </a:p>
            </c:rich>
          </c:tx>
          <c:overlay val="0"/>
        </c:title>
        <c:numFmt formatCode="#\ ##0.00\ \€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Résultat mensuel 2016 (Simulation Taxes à 5%)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000">
              <a:solidFill>
                <a:srgbClr val="1E3A8A"/>
              </a:solidFill>
              <a:prstDash val="solid"/>
            </a:ln>
          </c:spPr>
          <c:marker>
            <c:symbol val="none"/>
          </c:marker>
          <c:cat>
            <c:strRef>
              <c:f>'simulation aide de l''état'!$B$1:$M$1</c:f>
              <c:strCache>
                <c:ptCount val="12"/>
                <c:pt idx="0">
                  <c:v>Jan</c:v>
                </c:pt>
                <c:pt idx="1">
                  <c:v>Fév</c:v>
                </c:pt>
                <c:pt idx="2">
                  <c:v>Mars</c:v>
                </c:pt>
                <c:pt idx="3">
                  <c:v>Avr</c:v>
                </c:pt>
                <c:pt idx="4">
                  <c:v>Mai</c:v>
                </c:pt>
                <c:pt idx="5">
                  <c:v>Juin</c:v>
                </c:pt>
                <c:pt idx="6">
                  <c:v>Juil</c:v>
                </c:pt>
                <c:pt idx="7">
                  <c:v>Août</c:v>
                </c:pt>
                <c:pt idx="8">
                  <c:v>Sept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'simulation aide de l''état'!$B$18:$M$18</c:f>
              <c:numCache>
                <c:formatCode>#\ ##0.00\ \€</c:formatCode>
                <c:ptCount val="12"/>
                <c:pt idx="0">
                  <c:v>-1575.1666666666679</c:v>
                </c:pt>
                <c:pt idx="1">
                  <c:v>-760.66666666666788</c:v>
                </c:pt>
                <c:pt idx="2">
                  <c:v>1217.3333333333321</c:v>
                </c:pt>
                <c:pt idx="3">
                  <c:v>-629.66666666666788</c:v>
                </c:pt>
                <c:pt idx="4">
                  <c:v>578.83333333333212</c:v>
                </c:pt>
                <c:pt idx="5">
                  <c:v>1384.8333333333321</c:v>
                </c:pt>
                <c:pt idx="6">
                  <c:v>-650.66666666666788</c:v>
                </c:pt>
                <c:pt idx="7">
                  <c:v>27.333333333332121</c:v>
                </c:pt>
                <c:pt idx="8">
                  <c:v>-1798.6666666666679</c:v>
                </c:pt>
                <c:pt idx="9">
                  <c:v>-1191.6666666666679</c:v>
                </c:pt>
                <c:pt idx="10">
                  <c:v>1164.8333333333321</c:v>
                </c:pt>
                <c:pt idx="11">
                  <c:v>-1082.6666666666679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AC-41ED-B8D2-A984423FB9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Mois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Résultat (€)</a:t>
                </a:r>
              </a:p>
            </c:rich>
          </c:tx>
          <c:overlay val="0"/>
        </c:title>
        <c:numFmt formatCode="#\ ##0.00\ \€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20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20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topLeftCell="A12" zoomScale="64" workbookViewId="0">
      <selection activeCell="D34" sqref="D34"/>
    </sheetView>
  </sheetViews>
  <sheetFormatPr baseColWidth="10" defaultColWidth="8.7265625" defaultRowHeight="14.5" x14ac:dyDescent="0.35"/>
  <cols>
    <col min="1" max="1" width="24" customWidth="1"/>
    <col min="2" max="5" width="14" customWidth="1"/>
    <col min="6" max="13" width="8" customWidth="1"/>
  </cols>
  <sheetData>
    <row r="1" spans="1:3" ht="17.5" customHeight="1" x14ac:dyDescent="0.35">
      <c r="A1" s="1" t="s">
        <v>30</v>
      </c>
    </row>
    <row r="3" spans="1:3" ht="16.5" customHeight="1" x14ac:dyDescent="0.35">
      <c r="A3" s="2" t="s">
        <v>31</v>
      </c>
      <c r="B3" s="3" t="s">
        <v>32</v>
      </c>
      <c r="C3" s="3" t="s">
        <v>33</v>
      </c>
    </row>
    <row r="4" spans="1:3" ht="16" customHeight="1" x14ac:dyDescent="0.35">
      <c r="A4" s="4" t="s">
        <v>34</v>
      </c>
      <c r="B4" s="5">
        <v>1000</v>
      </c>
      <c r="C4" s="5">
        <f>B4*12</f>
        <v>12000</v>
      </c>
    </row>
    <row r="5" spans="1:3" ht="16" customHeight="1" x14ac:dyDescent="0.35">
      <c r="A5" s="4" t="s">
        <v>35</v>
      </c>
      <c r="B5" s="5">
        <f>C5/12</f>
        <v>250</v>
      </c>
      <c r="C5" s="5">
        <v>3000</v>
      </c>
    </row>
    <row r="6" spans="1:3" ht="16" customHeight="1" x14ac:dyDescent="0.35">
      <c r="A6" s="4" t="s">
        <v>36</v>
      </c>
      <c r="B6" s="5">
        <v>200</v>
      </c>
      <c r="C6" s="5">
        <f>B6*12</f>
        <v>2400</v>
      </c>
    </row>
    <row r="7" spans="1:3" ht="16" customHeight="1" x14ac:dyDescent="0.35">
      <c r="A7" s="4" t="s">
        <v>37</v>
      </c>
      <c r="B7" s="5">
        <v>100</v>
      </c>
      <c r="C7" s="5">
        <f>B7*12</f>
        <v>1200</v>
      </c>
    </row>
    <row r="8" spans="1:3" ht="16" customHeight="1" x14ac:dyDescent="0.35">
      <c r="A8" s="4" t="s">
        <v>38</v>
      </c>
      <c r="B8" s="5">
        <f>C8/12</f>
        <v>66.666666666666671</v>
      </c>
      <c r="C8" s="5">
        <v>800</v>
      </c>
    </row>
    <row r="9" spans="1:3" ht="16" customHeight="1" x14ac:dyDescent="0.35">
      <c r="A9" s="4" t="s">
        <v>39</v>
      </c>
      <c r="B9" s="5">
        <f>C9/12</f>
        <v>100</v>
      </c>
      <c r="C9" s="5">
        <v>1200</v>
      </c>
    </row>
    <row r="10" spans="1:3" ht="16" customHeight="1" x14ac:dyDescent="0.35">
      <c r="A10" s="4" t="s">
        <v>40</v>
      </c>
      <c r="B10" s="5">
        <v>250</v>
      </c>
      <c r="C10" s="5">
        <f>B10*12</f>
        <v>3000</v>
      </c>
    </row>
    <row r="11" spans="1:3" ht="16" customHeight="1" x14ac:dyDescent="0.35">
      <c r="A11" s="4" t="s">
        <v>41</v>
      </c>
      <c r="B11" s="5">
        <v>2730</v>
      </c>
      <c r="C11" s="5">
        <f>B11*12</f>
        <v>32760</v>
      </c>
    </row>
    <row r="12" spans="1:3" ht="16" customHeight="1" x14ac:dyDescent="0.35">
      <c r="A12" s="6" t="s">
        <v>12</v>
      </c>
      <c r="B12" s="7">
        <f>SUM(B4:B11)</f>
        <v>4696.666666666667</v>
      </c>
      <c r="C12" s="7">
        <f>SUM(C4:C11)</f>
        <v>56360</v>
      </c>
    </row>
    <row r="14" spans="1:3" ht="17.5" customHeight="1" x14ac:dyDescent="0.35">
      <c r="A14" s="1" t="s">
        <v>42</v>
      </c>
    </row>
    <row r="16" spans="1:3" ht="16.5" customHeight="1" x14ac:dyDescent="0.35">
      <c r="A16" s="2" t="s">
        <v>43</v>
      </c>
      <c r="B16" s="3" t="s">
        <v>44</v>
      </c>
    </row>
    <row r="17" spans="1:5" ht="16" customHeight="1" x14ac:dyDescent="0.35">
      <c r="A17" s="4" t="s">
        <v>45</v>
      </c>
      <c r="B17" s="5">
        <v>15</v>
      </c>
    </row>
    <row r="18" spans="1:5" ht="16" customHeight="1" x14ac:dyDescent="0.35">
      <c r="A18" s="4" t="s">
        <v>46</v>
      </c>
      <c r="B18" s="5">
        <v>25</v>
      </c>
    </row>
    <row r="19" spans="1:5" ht="16" customHeight="1" x14ac:dyDescent="0.35">
      <c r="A19" s="4" t="s">
        <v>47</v>
      </c>
      <c r="B19" s="5">
        <v>35</v>
      </c>
    </row>
    <row r="20" spans="1:5" ht="16" customHeight="1" x14ac:dyDescent="0.35">
      <c r="A20" s="4" t="s">
        <v>48</v>
      </c>
      <c r="B20" s="5">
        <v>3</v>
      </c>
    </row>
    <row r="21" spans="1:5" ht="16" customHeight="1" x14ac:dyDescent="0.35">
      <c r="A21" s="4" t="s">
        <v>49</v>
      </c>
      <c r="B21" s="5">
        <v>6</v>
      </c>
    </row>
    <row r="23" spans="1:5" ht="17.5" customHeight="1" x14ac:dyDescent="0.35">
      <c r="A23" s="1" t="s">
        <v>50</v>
      </c>
    </row>
    <row r="25" spans="1:5" ht="16.5" customHeight="1" x14ac:dyDescent="0.35">
      <c r="A25" s="2" t="s">
        <v>51</v>
      </c>
      <c r="B25" s="3" t="s">
        <v>52</v>
      </c>
    </row>
    <row r="26" spans="1:5" ht="16" customHeight="1" x14ac:dyDescent="0.35">
      <c r="A26" s="4" t="s">
        <v>45</v>
      </c>
      <c r="B26" s="5">
        <v>10</v>
      </c>
    </row>
    <row r="27" spans="1:5" ht="16" customHeight="1" x14ac:dyDescent="0.35">
      <c r="A27" s="4" t="s">
        <v>46</v>
      </c>
      <c r="B27" s="5">
        <v>15</v>
      </c>
    </row>
    <row r="28" spans="1:5" ht="16" customHeight="1" x14ac:dyDescent="0.35">
      <c r="A28" s="4" t="s">
        <v>47</v>
      </c>
      <c r="B28" s="5">
        <v>20</v>
      </c>
    </row>
    <row r="29" spans="1:5" ht="16" customHeight="1" x14ac:dyDescent="0.35">
      <c r="A29" s="4" t="s">
        <v>48</v>
      </c>
      <c r="B29" s="5">
        <v>1</v>
      </c>
    </row>
    <row r="30" spans="1:5" ht="16" customHeight="1" x14ac:dyDescent="0.35">
      <c r="A30" s="4" t="s">
        <v>49</v>
      </c>
      <c r="B30" s="5">
        <v>2</v>
      </c>
    </row>
    <row r="32" spans="1:5" ht="16" customHeight="1" x14ac:dyDescent="0.35">
      <c r="A32" s="4" t="s">
        <v>25</v>
      </c>
      <c r="B32" s="8">
        <v>0.1</v>
      </c>
      <c r="D32" s="4" t="s">
        <v>53</v>
      </c>
      <c r="E32" s="8">
        <v>0.05</v>
      </c>
    </row>
    <row r="33" spans="1:13" ht="16" customHeight="1" x14ac:dyDescent="0.35">
      <c r="A33" s="4" t="s">
        <v>26</v>
      </c>
      <c r="B33" s="8">
        <v>0.2</v>
      </c>
      <c r="D33" s="4" t="s">
        <v>54</v>
      </c>
      <c r="E33" s="8">
        <v>0.05</v>
      </c>
    </row>
    <row r="36" spans="1:13" ht="17.5" customHeight="1" x14ac:dyDescent="0.35">
      <c r="A36" s="1" t="s">
        <v>55</v>
      </c>
    </row>
    <row r="38" spans="1:13" ht="16.5" customHeight="1" x14ac:dyDescent="0.35">
      <c r="A38" s="2" t="s">
        <v>56</v>
      </c>
      <c r="B38" s="3" t="s">
        <v>0</v>
      </c>
      <c r="C38" s="3" t="s">
        <v>1</v>
      </c>
      <c r="D38" s="3" t="s">
        <v>2</v>
      </c>
      <c r="E38" s="3" t="s">
        <v>3</v>
      </c>
      <c r="F38" s="3" t="s">
        <v>4</v>
      </c>
      <c r="G38" s="3" t="s">
        <v>5</v>
      </c>
      <c r="H38" s="3" t="s">
        <v>6</v>
      </c>
      <c r="I38" s="3" t="s">
        <v>7</v>
      </c>
      <c r="J38" s="3" t="s">
        <v>8</v>
      </c>
      <c r="K38" s="3" t="s">
        <v>9</v>
      </c>
      <c r="L38" s="3" t="s">
        <v>10</v>
      </c>
      <c r="M38" s="3" t="s">
        <v>11</v>
      </c>
    </row>
    <row r="39" spans="1:13" ht="16" customHeight="1" x14ac:dyDescent="0.35">
      <c r="A39" s="4" t="s">
        <v>57</v>
      </c>
      <c r="B39" s="9">
        <v>130</v>
      </c>
      <c r="C39" s="9">
        <v>70</v>
      </c>
      <c r="D39" s="9">
        <v>250</v>
      </c>
      <c r="E39" s="9">
        <v>220</v>
      </c>
      <c r="F39" s="9">
        <v>70</v>
      </c>
      <c r="G39" s="9">
        <v>150</v>
      </c>
      <c r="H39" s="9">
        <v>100</v>
      </c>
      <c r="I39" s="9">
        <v>240</v>
      </c>
      <c r="J39" s="9">
        <v>60</v>
      </c>
      <c r="K39" s="9">
        <v>70</v>
      </c>
      <c r="L39" s="9">
        <v>100</v>
      </c>
      <c r="M39" s="9">
        <v>130</v>
      </c>
    </row>
    <row r="40" spans="1:13" ht="16" customHeight="1" x14ac:dyDescent="0.35">
      <c r="A40" s="4" t="s">
        <v>58</v>
      </c>
      <c r="B40" s="9">
        <v>90</v>
      </c>
      <c r="C40" s="9">
        <v>90</v>
      </c>
      <c r="D40" s="9">
        <v>210</v>
      </c>
      <c r="E40" s="9">
        <v>80</v>
      </c>
      <c r="F40" s="9">
        <v>160</v>
      </c>
      <c r="G40" s="9">
        <v>140</v>
      </c>
      <c r="H40" s="9">
        <v>200</v>
      </c>
      <c r="I40" s="9">
        <v>150</v>
      </c>
      <c r="J40" s="9">
        <v>90</v>
      </c>
      <c r="K40" s="9">
        <v>170</v>
      </c>
      <c r="L40" s="9">
        <v>230</v>
      </c>
      <c r="M40" s="9">
        <v>60</v>
      </c>
    </row>
    <row r="41" spans="1:13" ht="16" customHeight="1" x14ac:dyDescent="0.35">
      <c r="A41" s="4" t="s">
        <v>59</v>
      </c>
      <c r="B41" s="9">
        <v>80</v>
      </c>
      <c r="C41" s="9">
        <v>130</v>
      </c>
      <c r="D41" s="9">
        <v>180</v>
      </c>
      <c r="E41" s="9">
        <v>90</v>
      </c>
      <c r="F41" s="9">
        <v>210</v>
      </c>
      <c r="G41" s="9">
        <v>250</v>
      </c>
      <c r="H41" s="9">
        <v>70</v>
      </c>
      <c r="I41" s="9">
        <v>140</v>
      </c>
      <c r="J41" s="9">
        <v>80</v>
      </c>
      <c r="K41" s="9">
        <v>60</v>
      </c>
      <c r="L41" s="9">
        <v>190</v>
      </c>
      <c r="M41" s="9">
        <v>130</v>
      </c>
    </row>
    <row r="42" spans="1:13" ht="16" customHeight="1" x14ac:dyDescent="0.35">
      <c r="A42" s="4" t="s">
        <v>60</v>
      </c>
      <c r="B42" s="9">
        <v>130</v>
      </c>
      <c r="C42" s="9">
        <v>250</v>
      </c>
      <c r="D42" s="9">
        <v>60</v>
      </c>
      <c r="E42" s="9">
        <v>190</v>
      </c>
      <c r="F42" s="9">
        <v>250</v>
      </c>
      <c r="G42" s="9">
        <v>130</v>
      </c>
      <c r="H42" s="9">
        <v>170</v>
      </c>
      <c r="I42" s="9">
        <v>110</v>
      </c>
      <c r="J42" s="9">
        <v>150</v>
      </c>
      <c r="K42" s="9">
        <v>60</v>
      </c>
      <c r="L42" s="9">
        <v>210</v>
      </c>
      <c r="M42" s="9">
        <v>60</v>
      </c>
    </row>
    <row r="43" spans="1:13" ht="16" customHeight="1" x14ac:dyDescent="0.35">
      <c r="A43" s="4" t="s">
        <v>49</v>
      </c>
      <c r="B43" s="9">
        <v>130</v>
      </c>
      <c r="C43" s="9">
        <v>180</v>
      </c>
      <c r="D43" s="9">
        <v>140</v>
      </c>
      <c r="E43" s="9">
        <v>240</v>
      </c>
      <c r="F43" s="9">
        <v>90</v>
      </c>
      <c r="G43" s="9">
        <v>180</v>
      </c>
      <c r="H43" s="9">
        <v>170</v>
      </c>
      <c r="I43" s="9">
        <v>90</v>
      </c>
      <c r="J43" s="9">
        <v>140</v>
      </c>
      <c r="K43" s="9">
        <v>220</v>
      </c>
      <c r="L43" s="9">
        <v>140</v>
      </c>
      <c r="M43" s="9">
        <v>190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8"/>
  <sheetViews>
    <sheetView zoomScale="53" workbookViewId="0">
      <selection activeCell="N17" sqref="N17"/>
    </sheetView>
  </sheetViews>
  <sheetFormatPr baseColWidth="10" defaultColWidth="8.7265625" defaultRowHeight="14.5" x14ac:dyDescent="0.35"/>
  <cols>
    <col min="1" max="1" width="24" customWidth="1"/>
    <col min="2" max="14" width="13" customWidth="1"/>
  </cols>
  <sheetData>
    <row r="1" spans="1:14" ht="16.5" customHeight="1" x14ac:dyDescent="0.35">
      <c r="A1" s="14"/>
      <c r="B1" s="15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12</v>
      </c>
    </row>
    <row r="2" spans="1:14" ht="16" customHeight="1" x14ac:dyDescent="0.35">
      <c r="A2" s="10" t="s">
        <v>13</v>
      </c>
      <c r="B2" s="11">
        <f>données!B39*données!$B$17</f>
        <v>1950</v>
      </c>
      <c r="C2" s="11">
        <f>données!C39*données!$B$17</f>
        <v>1050</v>
      </c>
      <c r="D2" s="11">
        <f>données!D39*données!$B$17</f>
        <v>3750</v>
      </c>
      <c r="E2" s="11">
        <f>données!E39*données!$B$17</f>
        <v>3300</v>
      </c>
      <c r="F2" s="11">
        <f>données!F39*données!$B$17</f>
        <v>1050</v>
      </c>
      <c r="G2" s="11">
        <f>données!G39*données!$B$17</f>
        <v>2250</v>
      </c>
      <c r="H2" s="11">
        <f>données!H39*données!$B$17</f>
        <v>1500</v>
      </c>
      <c r="I2" s="11">
        <f>données!I39*données!$B$17</f>
        <v>3600</v>
      </c>
      <c r="J2" s="11">
        <f>données!J39*données!$B$17</f>
        <v>900</v>
      </c>
      <c r="K2" s="11">
        <f>données!K39*données!$B$17</f>
        <v>1050</v>
      </c>
      <c r="L2" s="11">
        <f>données!L39*données!$B$17</f>
        <v>1500</v>
      </c>
      <c r="M2" s="11">
        <f>données!M39*données!$B$17</f>
        <v>1950</v>
      </c>
      <c r="N2" s="11">
        <f t="shared" ref="N2:N18" si="0">SUM(B2:M2)</f>
        <v>23850</v>
      </c>
    </row>
    <row r="3" spans="1:14" ht="16" customHeight="1" x14ac:dyDescent="0.35">
      <c r="A3" s="10" t="s">
        <v>14</v>
      </c>
      <c r="B3" s="11">
        <f>données!B40*données!$B$18</f>
        <v>2250</v>
      </c>
      <c r="C3" s="11">
        <f>données!C40*données!$B$18</f>
        <v>2250</v>
      </c>
      <c r="D3" s="11">
        <f>données!D40*données!$B$18</f>
        <v>5250</v>
      </c>
      <c r="E3" s="11">
        <f>données!E40*données!$B$18</f>
        <v>2000</v>
      </c>
      <c r="F3" s="11">
        <f>données!F40*données!$B$18</f>
        <v>4000</v>
      </c>
      <c r="G3" s="11">
        <f>données!G40*données!$B$18</f>
        <v>3500</v>
      </c>
      <c r="H3" s="11">
        <f>données!H40*données!$B$18</f>
        <v>5000</v>
      </c>
      <c r="I3" s="11">
        <f>données!I40*données!$B$18</f>
        <v>3750</v>
      </c>
      <c r="J3" s="11">
        <f>données!J40*données!$B$18</f>
        <v>2250</v>
      </c>
      <c r="K3" s="11">
        <f>données!K40*données!$B$18</f>
        <v>4250</v>
      </c>
      <c r="L3" s="11">
        <f>données!L40*données!$B$18</f>
        <v>5750</v>
      </c>
      <c r="M3" s="11">
        <f>données!M40*données!$B$18</f>
        <v>1500</v>
      </c>
      <c r="N3" s="11">
        <f t="shared" si="0"/>
        <v>41750</v>
      </c>
    </row>
    <row r="4" spans="1:14" ht="16" customHeight="1" x14ac:dyDescent="0.35">
      <c r="A4" s="10" t="s">
        <v>15</v>
      </c>
      <c r="B4" s="11">
        <f>données!B41*données!$B$19</f>
        <v>2800</v>
      </c>
      <c r="C4" s="11">
        <f>données!C41*données!$B$19</f>
        <v>4550</v>
      </c>
      <c r="D4" s="11">
        <f>données!D41*données!$B$19</f>
        <v>6300</v>
      </c>
      <c r="E4" s="11">
        <f>données!E41*données!$B$19</f>
        <v>3150</v>
      </c>
      <c r="F4" s="11">
        <f>données!F41*données!$B$19</f>
        <v>7350</v>
      </c>
      <c r="G4" s="11">
        <f>données!G41*données!$B$19</f>
        <v>8750</v>
      </c>
      <c r="H4" s="11">
        <f>données!H41*données!$B$19</f>
        <v>2450</v>
      </c>
      <c r="I4" s="11">
        <f>données!I41*données!$B$19</f>
        <v>4900</v>
      </c>
      <c r="J4" s="11">
        <f>données!J41*données!$B$19</f>
        <v>2800</v>
      </c>
      <c r="K4" s="11">
        <f>données!K41*données!$B$19</f>
        <v>2100</v>
      </c>
      <c r="L4" s="11">
        <f>données!L41*données!$B$19</f>
        <v>6650</v>
      </c>
      <c r="M4" s="11">
        <f>données!M41*données!$B$19</f>
        <v>4550</v>
      </c>
      <c r="N4" s="11">
        <f t="shared" si="0"/>
        <v>56350</v>
      </c>
    </row>
    <row r="5" spans="1:14" ht="16" customHeight="1" x14ac:dyDescent="0.35">
      <c r="A5" s="10" t="s">
        <v>16</v>
      </c>
      <c r="B5" s="11">
        <f>données!B42*données!$B$20</f>
        <v>390</v>
      </c>
      <c r="C5" s="11">
        <f>données!C42*données!$B$20</f>
        <v>750</v>
      </c>
      <c r="D5" s="11">
        <f>données!D42*données!$B$20</f>
        <v>180</v>
      </c>
      <c r="E5" s="11">
        <f>données!E42*données!$B$20</f>
        <v>570</v>
      </c>
      <c r="F5" s="11">
        <f>données!F42*données!$B$20</f>
        <v>750</v>
      </c>
      <c r="G5" s="11">
        <f>données!G42*données!$B$20</f>
        <v>390</v>
      </c>
      <c r="H5" s="11">
        <f>données!H42*données!$B$20</f>
        <v>510</v>
      </c>
      <c r="I5" s="11">
        <f>données!I42*données!$B$20</f>
        <v>330</v>
      </c>
      <c r="J5" s="11">
        <f>données!J42*données!$B$20</f>
        <v>450</v>
      </c>
      <c r="K5" s="11">
        <f>données!K42*données!$B$20</f>
        <v>180</v>
      </c>
      <c r="L5" s="11">
        <f>données!L42*données!$B$20</f>
        <v>630</v>
      </c>
      <c r="M5" s="11">
        <f>données!M42*données!$B$20</f>
        <v>180</v>
      </c>
      <c r="N5" s="11">
        <f t="shared" si="0"/>
        <v>5310</v>
      </c>
    </row>
    <row r="6" spans="1:14" ht="16" customHeight="1" x14ac:dyDescent="0.35">
      <c r="A6" s="10" t="s">
        <v>17</v>
      </c>
      <c r="B6" s="11">
        <f>données!B43*données!$B$21</f>
        <v>780</v>
      </c>
      <c r="C6" s="11">
        <f>données!C43*données!$B$21</f>
        <v>1080</v>
      </c>
      <c r="D6" s="11">
        <f>données!D43*données!$B$21</f>
        <v>840</v>
      </c>
      <c r="E6" s="11">
        <f>données!E43*données!$B$21</f>
        <v>1440</v>
      </c>
      <c r="F6" s="11">
        <f>données!F43*données!$B$21</f>
        <v>540</v>
      </c>
      <c r="G6" s="11">
        <f>données!G43*données!$B$21</f>
        <v>1080</v>
      </c>
      <c r="H6" s="11">
        <f>données!H43*données!$B$21</f>
        <v>1020</v>
      </c>
      <c r="I6" s="11">
        <f>données!I43*données!$B$21</f>
        <v>540</v>
      </c>
      <c r="J6" s="11">
        <f>données!J43*données!$B$21</f>
        <v>840</v>
      </c>
      <c r="K6" s="11">
        <f>données!K43*données!$B$21</f>
        <v>1320</v>
      </c>
      <c r="L6" s="11">
        <f>données!L43*données!$B$21</f>
        <v>840</v>
      </c>
      <c r="M6" s="11">
        <f>données!M43*données!$B$21</f>
        <v>1140</v>
      </c>
      <c r="N6" s="11">
        <f t="shared" si="0"/>
        <v>11460</v>
      </c>
    </row>
    <row r="7" spans="1:14" ht="16" customHeight="1" x14ac:dyDescent="0.35">
      <c r="A7" s="12" t="s">
        <v>18</v>
      </c>
      <c r="B7" s="13">
        <f t="shared" ref="B7:M7" si="1">SUM(B2:B6)</f>
        <v>8170</v>
      </c>
      <c r="C7" s="13">
        <f t="shared" si="1"/>
        <v>9680</v>
      </c>
      <c r="D7" s="13">
        <f t="shared" si="1"/>
        <v>16320</v>
      </c>
      <c r="E7" s="13">
        <f t="shared" si="1"/>
        <v>10460</v>
      </c>
      <c r="F7" s="13">
        <f t="shared" si="1"/>
        <v>13690</v>
      </c>
      <c r="G7" s="13">
        <f t="shared" si="1"/>
        <v>15970</v>
      </c>
      <c r="H7" s="13">
        <f t="shared" si="1"/>
        <v>10480</v>
      </c>
      <c r="I7" s="13">
        <f t="shared" si="1"/>
        <v>13120</v>
      </c>
      <c r="J7" s="13">
        <f t="shared" si="1"/>
        <v>7240</v>
      </c>
      <c r="K7" s="13">
        <f t="shared" si="1"/>
        <v>8900</v>
      </c>
      <c r="L7" s="13">
        <f t="shared" si="1"/>
        <v>15370</v>
      </c>
      <c r="M7" s="13">
        <f t="shared" si="1"/>
        <v>9320</v>
      </c>
      <c r="N7" s="13">
        <f t="shared" si="0"/>
        <v>138720</v>
      </c>
    </row>
    <row r="8" spans="1:14" ht="16" customHeight="1" x14ac:dyDescent="0.35">
      <c r="A8" s="12" t="s">
        <v>19</v>
      </c>
      <c r="B8" s="13">
        <f>données!$B$12</f>
        <v>4696.666666666667</v>
      </c>
      <c r="C8" s="13">
        <f>données!$B$12</f>
        <v>4696.666666666667</v>
      </c>
      <c r="D8" s="13">
        <f>données!$B$12</f>
        <v>4696.666666666667</v>
      </c>
      <c r="E8" s="13">
        <f>données!$B$12</f>
        <v>4696.666666666667</v>
      </c>
      <c r="F8" s="13">
        <f>données!$B$12</f>
        <v>4696.666666666667</v>
      </c>
      <c r="G8" s="13">
        <f>données!$B$12</f>
        <v>4696.666666666667</v>
      </c>
      <c r="H8" s="13">
        <f>données!$B$12</f>
        <v>4696.666666666667</v>
      </c>
      <c r="I8" s="13">
        <f>données!$B$12</f>
        <v>4696.666666666667</v>
      </c>
      <c r="J8" s="13">
        <f>données!$B$12</f>
        <v>4696.666666666667</v>
      </c>
      <c r="K8" s="13">
        <f>données!$B$12</f>
        <v>4696.666666666667</v>
      </c>
      <c r="L8" s="13">
        <f>données!$B$12</f>
        <v>4696.666666666667</v>
      </c>
      <c r="M8" s="13">
        <f>données!$B$12</f>
        <v>4696.666666666667</v>
      </c>
      <c r="N8" s="13">
        <f t="shared" si="0"/>
        <v>56359.999999999993</v>
      </c>
    </row>
    <row r="9" spans="1:14" ht="16" customHeight="1" x14ac:dyDescent="0.35">
      <c r="A9" s="10" t="s">
        <v>20</v>
      </c>
      <c r="B9" s="11">
        <f>données!B39*données!$B$26</f>
        <v>1300</v>
      </c>
      <c r="C9" s="11">
        <f>données!C39*données!$B$26</f>
        <v>700</v>
      </c>
      <c r="D9" s="11">
        <f>données!D39*données!$B$26</f>
        <v>2500</v>
      </c>
      <c r="E9" s="11">
        <f>données!E39*données!$B$26</f>
        <v>2200</v>
      </c>
      <c r="F9" s="11">
        <f>données!F39*données!$B$26</f>
        <v>700</v>
      </c>
      <c r="G9" s="11">
        <f>données!G39*données!$B$26</f>
        <v>1500</v>
      </c>
      <c r="H9" s="11">
        <f>données!H39*données!$B$26</f>
        <v>1000</v>
      </c>
      <c r="I9" s="11">
        <f>données!I39*données!$B$26</f>
        <v>2400</v>
      </c>
      <c r="J9" s="11">
        <f>données!J39*données!$B$26</f>
        <v>600</v>
      </c>
      <c r="K9" s="11">
        <f>données!K39*données!$B$26</f>
        <v>700</v>
      </c>
      <c r="L9" s="11">
        <f>données!L39*données!$B$26</f>
        <v>1000</v>
      </c>
      <c r="M9" s="11">
        <f>données!M39*données!$B$26</f>
        <v>1300</v>
      </c>
      <c r="N9" s="11">
        <f t="shared" si="0"/>
        <v>15900</v>
      </c>
    </row>
    <row r="10" spans="1:14" ht="16" customHeight="1" x14ac:dyDescent="0.35">
      <c r="A10" s="10" t="s">
        <v>21</v>
      </c>
      <c r="B10" s="11">
        <f>données!B40*données!$B$27</f>
        <v>1350</v>
      </c>
      <c r="C10" s="11">
        <f>données!C40*données!$B$27</f>
        <v>1350</v>
      </c>
      <c r="D10" s="11">
        <f>données!D40*données!$B$27</f>
        <v>3150</v>
      </c>
      <c r="E10" s="11">
        <f>données!E40*données!$B$27</f>
        <v>1200</v>
      </c>
      <c r="F10" s="11">
        <f>données!F40*données!$B$27</f>
        <v>2400</v>
      </c>
      <c r="G10" s="11">
        <f>données!G40*données!$B$27</f>
        <v>2100</v>
      </c>
      <c r="H10" s="11">
        <f>données!H40*données!$B$27</f>
        <v>3000</v>
      </c>
      <c r="I10" s="11">
        <f>données!I40*données!$B$27</f>
        <v>2250</v>
      </c>
      <c r="J10" s="11">
        <f>données!J40*données!$B$27</f>
        <v>1350</v>
      </c>
      <c r="K10" s="11">
        <f>données!K40*données!$B$27</f>
        <v>2550</v>
      </c>
      <c r="L10" s="11">
        <f>données!L40*données!$B$27</f>
        <v>3450</v>
      </c>
      <c r="M10" s="11">
        <f>données!M40*données!$B$27</f>
        <v>900</v>
      </c>
      <c r="N10" s="11">
        <f t="shared" si="0"/>
        <v>25050</v>
      </c>
    </row>
    <row r="11" spans="1:14" ht="16" customHeight="1" x14ac:dyDescent="0.35">
      <c r="A11" s="10" t="s">
        <v>22</v>
      </c>
      <c r="B11" s="11">
        <f>données!B41*données!$B$28</f>
        <v>1600</v>
      </c>
      <c r="C11" s="11">
        <f>données!C41*données!$B$28</f>
        <v>2600</v>
      </c>
      <c r="D11" s="11">
        <f>données!D41*données!$B$28</f>
        <v>3600</v>
      </c>
      <c r="E11" s="11">
        <f>données!E41*données!$B$28</f>
        <v>1800</v>
      </c>
      <c r="F11" s="11">
        <f>données!F41*données!$B$28</f>
        <v>4200</v>
      </c>
      <c r="G11" s="11">
        <f>données!G41*données!$B$28</f>
        <v>5000</v>
      </c>
      <c r="H11" s="11">
        <f>données!H41*données!$B$28</f>
        <v>1400</v>
      </c>
      <c r="I11" s="11">
        <f>données!I41*données!$B$28</f>
        <v>2800</v>
      </c>
      <c r="J11" s="11">
        <f>données!J41*données!$B$28</f>
        <v>1600</v>
      </c>
      <c r="K11" s="11">
        <f>données!K41*données!$B$28</f>
        <v>1200</v>
      </c>
      <c r="L11" s="11">
        <f>données!L41*données!$B$28</f>
        <v>3800</v>
      </c>
      <c r="M11" s="11">
        <f>données!M41*données!$B$28</f>
        <v>2600</v>
      </c>
      <c r="N11" s="11">
        <f t="shared" si="0"/>
        <v>32200</v>
      </c>
    </row>
    <row r="12" spans="1:14" ht="16" customHeight="1" x14ac:dyDescent="0.35">
      <c r="A12" s="10" t="s">
        <v>23</v>
      </c>
      <c r="B12" s="11">
        <f>données!B42*données!$B$29</f>
        <v>130</v>
      </c>
      <c r="C12" s="11">
        <f>données!C42*données!$B$29</f>
        <v>250</v>
      </c>
      <c r="D12" s="11">
        <f>données!D42*données!$B$29</f>
        <v>60</v>
      </c>
      <c r="E12" s="11">
        <f>données!E42*données!$B$29</f>
        <v>190</v>
      </c>
      <c r="F12" s="11">
        <f>données!F42*données!$B$29</f>
        <v>250</v>
      </c>
      <c r="G12" s="11">
        <f>données!G42*données!$B$29</f>
        <v>130</v>
      </c>
      <c r="H12" s="11">
        <f>données!H42*données!$B$29</f>
        <v>170</v>
      </c>
      <c r="I12" s="11">
        <f>données!I42*données!$B$29</f>
        <v>110</v>
      </c>
      <c r="J12" s="11">
        <f>données!J42*données!$B$29</f>
        <v>150</v>
      </c>
      <c r="K12" s="11">
        <f>données!K42*données!$B$29</f>
        <v>60</v>
      </c>
      <c r="L12" s="11">
        <f>données!L42*données!$B$29</f>
        <v>210</v>
      </c>
      <c r="M12" s="11">
        <f>données!M42*données!$B$29</f>
        <v>60</v>
      </c>
      <c r="N12" s="11">
        <f t="shared" si="0"/>
        <v>1770</v>
      </c>
    </row>
    <row r="13" spans="1:14" ht="16" customHeight="1" x14ac:dyDescent="0.35">
      <c r="A13" s="10" t="s">
        <v>24</v>
      </c>
      <c r="B13" s="11">
        <f>données!B43*données!$B$30</f>
        <v>260</v>
      </c>
      <c r="C13" s="11">
        <f>données!C43*données!$B$30</f>
        <v>360</v>
      </c>
      <c r="D13" s="11">
        <f>données!D43*données!$B$30</f>
        <v>280</v>
      </c>
      <c r="E13" s="11">
        <f>données!E43*données!$B$30</f>
        <v>480</v>
      </c>
      <c r="F13" s="11">
        <f>données!F43*données!$B$30</f>
        <v>180</v>
      </c>
      <c r="G13" s="11">
        <f>données!G43*données!$B$30</f>
        <v>360</v>
      </c>
      <c r="H13" s="11">
        <f>données!H43*données!$B$30</f>
        <v>340</v>
      </c>
      <c r="I13" s="11">
        <f>données!I43*données!$B$30</f>
        <v>180</v>
      </c>
      <c r="J13" s="11">
        <f>données!J43*données!$B$30</f>
        <v>280</v>
      </c>
      <c r="K13" s="11">
        <f>données!K43*données!$B$30</f>
        <v>440</v>
      </c>
      <c r="L13" s="11">
        <f>données!L43*données!$B$30</f>
        <v>280</v>
      </c>
      <c r="M13" s="11">
        <f>données!M43*données!$B$30</f>
        <v>380</v>
      </c>
      <c r="N13" s="11">
        <f t="shared" si="0"/>
        <v>3820</v>
      </c>
    </row>
    <row r="14" spans="1:14" ht="16" customHeight="1" x14ac:dyDescent="0.35">
      <c r="A14" s="10" t="s">
        <v>25</v>
      </c>
      <c r="B14" s="11">
        <f>SUM(B2:B4)*données!$B$32</f>
        <v>700</v>
      </c>
      <c r="C14" s="11">
        <f>SUM(C2:C4)*données!$B$32</f>
        <v>785</v>
      </c>
      <c r="D14" s="11">
        <f>SUM(D2:D4)*données!$B$32</f>
        <v>1530</v>
      </c>
      <c r="E14" s="11">
        <f>SUM(E2:E4)*données!$B$32</f>
        <v>845</v>
      </c>
      <c r="F14" s="11">
        <f>SUM(F2:F4)*données!$B$32</f>
        <v>1240</v>
      </c>
      <c r="G14" s="11">
        <f>SUM(G2:G4)*données!$B$32</f>
        <v>1450</v>
      </c>
      <c r="H14" s="11">
        <f>SUM(H2:H4)*données!$B$32</f>
        <v>895</v>
      </c>
      <c r="I14" s="11">
        <f>SUM(I2:I4)*données!$B$32</f>
        <v>1225</v>
      </c>
      <c r="J14" s="11">
        <f>SUM(J2:J4)*données!$B$32</f>
        <v>595</v>
      </c>
      <c r="K14" s="11">
        <f>SUM(K2:K4)*données!$B$32</f>
        <v>740</v>
      </c>
      <c r="L14" s="11">
        <f>SUM(L2:L4)*données!$B$32</f>
        <v>1390</v>
      </c>
      <c r="M14" s="11">
        <f>SUM(M2:M4)*données!$B$32</f>
        <v>800</v>
      </c>
      <c r="N14" s="11">
        <f t="shared" si="0"/>
        <v>12195</v>
      </c>
    </row>
    <row r="15" spans="1:14" ht="16" customHeight="1" x14ac:dyDescent="0.35">
      <c r="A15" s="10" t="s">
        <v>26</v>
      </c>
      <c r="B15" s="11">
        <f>SUM(B5:B6)*données!$B$33</f>
        <v>234</v>
      </c>
      <c r="C15" s="11">
        <f>SUM(C5:C6)*données!$B$33</f>
        <v>366</v>
      </c>
      <c r="D15" s="11">
        <f>SUM(D5:D6)*données!$B$33</f>
        <v>204</v>
      </c>
      <c r="E15" s="11">
        <f>SUM(E5:E6)*données!$B$33</f>
        <v>402</v>
      </c>
      <c r="F15" s="11">
        <f>SUM(F5:F6)*données!$B$33</f>
        <v>258</v>
      </c>
      <c r="G15" s="11">
        <f>SUM(G5:G6)*données!$B$33</f>
        <v>294</v>
      </c>
      <c r="H15" s="11">
        <f>SUM(H5:H6)*données!$B$33</f>
        <v>306</v>
      </c>
      <c r="I15" s="11">
        <f>SUM(I5:I6)*données!$B$33</f>
        <v>174</v>
      </c>
      <c r="J15" s="11">
        <f>SUM(J5:J6)*données!$B$33</f>
        <v>258</v>
      </c>
      <c r="K15" s="11">
        <f>SUM(K5:K6)*données!$B$33</f>
        <v>300</v>
      </c>
      <c r="L15" s="11">
        <f>SUM(L5:L6)*données!$B$33</f>
        <v>294</v>
      </c>
      <c r="M15" s="11">
        <f>SUM(M5:M6)*données!$B$33</f>
        <v>264</v>
      </c>
      <c r="N15" s="11">
        <f t="shared" si="0"/>
        <v>3354</v>
      </c>
    </row>
    <row r="16" spans="1:14" ht="16" customHeight="1" x14ac:dyDescent="0.35">
      <c r="A16" s="12" t="s">
        <v>27</v>
      </c>
      <c r="B16" s="13">
        <f t="shared" ref="B16:M16" si="2">SUM(B9:B15)</f>
        <v>5574</v>
      </c>
      <c r="C16" s="13">
        <f t="shared" si="2"/>
        <v>6411</v>
      </c>
      <c r="D16" s="13">
        <f t="shared" si="2"/>
        <v>11324</v>
      </c>
      <c r="E16" s="13">
        <f t="shared" si="2"/>
        <v>7117</v>
      </c>
      <c r="F16" s="13">
        <f t="shared" si="2"/>
        <v>9228</v>
      </c>
      <c r="G16" s="13">
        <f t="shared" si="2"/>
        <v>10834</v>
      </c>
      <c r="H16" s="13">
        <f t="shared" si="2"/>
        <v>7111</v>
      </c>
      <c r="I16" s="13">
        <f t="shared" si="2"/>
        <v>9139</v>
      </c>
      <c r="J16" s="13">
        <f t="shared" si="2"/>
        <v>4833</v>
      </c>
      <c r="K16" s="13">
        <f t="shared" si="2"/>
        <v>5990</v>
      </c>
      <c r="L16" s="13">
        <f t="shared" si="2"/>
        <v>10424</v>
      </c>
      <c r="M16" s="13">
        <f t="shared" si="2"/>
        <v>6304</v>
      </c>
      <c r="N16" s="13">
        <f t="shared" si="0"/>
        <v>94289</v>
      </c>
    </row>
    <row r="17" spans="1:14" ht="16" customHeight="1" x14ac:dyDescent="0.35">
      <c r="A17" s="12" t="s">
        <v>28</v>
      </c>
      <c r="B17" s="13">
        <f t="shared" ref="B17:M17" si="3">B8+B16</f>
        <v>10270.666666666668</v>
      </c>
      <c r="C17" s="13">
        <f t="shared" si="3"/>
        <v>11107.666666666668</v>
      </c>
      <c r="D17" s="13">
        <f t="shared" si="3"/>
        <v>16020.666666666668</v>
      </c>
      <c r="E17" s="13">
        <f t="shared" si="3"/>
        <v>11813.666666666668</v>
      </c>
      <c r="F17" s="13">
        <f t="shared" si="3"/>
        <v>13924.666666666668</v>
      </c>
      <c r="G17" s="13">
        <f t="shared" si="3"/>
        <v>15530.666666666668</v>
      </c>
      <c r="H17" s="13">
        <f t="shared" si="3"/>
        <v>11807.666666666668</v>
      </c>
      <c r="I17" s="13">
        <f t="shared" si="3"/>
        <v>13835.666666666668</v>
      </c>
      <c r="J17" s="13">
        <f t="shared" si="3"/>
        <v>9529.6666666666679</v>
      </c>
      <c r="K17" s="13">
        <f t="shared" si="3"/>
        <v>10686.666666666668</v>
      </c>
      <c r="L17" s="13">
        <f t="shared" si="3"/>
        <v>15120.666666666668</v>
      </c>
      <c r="M17" s="13">
        <f t="shared" si="3"/>
        <v>11000.666666666668</v>
      </c>
      <c r="N17" s="13">
        <f>SUM(B17:M17)</f>
        <v>150649.00000000003</v>
      </c>
    </row>
    <row r="18" spans="1:14" ht="16" customHeight="1" x14ac:dyDescent="0.35">
      <c r="A18" s="12" t="s">
        <v>29</v>
      </c>
      <c r="B18" s="13">
        <f t="shared" ref="B18:M18" si="4">B7-B17</f>
        <v>-2100.6666666666679</v>
      </c>
      <c r="C18" s="13">
        <f t="shared" si="4"/>
        <v>-1427.6666666666679</v>
      </c>
      <c r="D18" s="13">
        <f t="shared" si="4"/>
        <v>299.33333333333212</v>
      </c>
      <c r="E18" s="13">
        <f t="shared" si="4"/>
        <v>-1353.6666666666679</v>
      </c>
      <c r="F18" s="13">
        <f t="shared" si="4"/>
        <v>-234.66666666666788</v>
      </c>
      <c r="G18" s="13">
        <f t="shared" si="4"/>
        <v>439.33333333333212</v>
      </c>
      <c r="H18" s="13">
        <f t="shared" si="4"/>
        <v>-1327.6666666666679</v>
      </c>
      <c r="I18" s="13">
        <f t="shared" si="4"/>
        <v>-715.66666666666788</v>
      </c>
      <c r="J18" s="13">
        <f t="shared" si="4"/>
        <v>-2289.6666666666679</v>
      </c>
      <c r="K18" s="13">
        <f t="shared" si="4"/>
        <v>-1786.6666666666679</v>
      </c>
      <c r="L18" s="13">
        <f t="shared" si="4"/>
        <v>249.33333333333212</v>
      </c>
      <c r="M18" s="13">
        <f t="shared" si="4"/>
        <v>-1680.6666666666679</v>
      </c>
      <c r="N18" s="13">
        <f t="shared" si="0"/>
        <v>-11929.000000000015</v>
      </c>
    </row>
  </sheetData>
  <conditionalFormatting sqref="B18:M18">
    <cfRule type="cellIs" dxfId="3" priority="3" stopIfTrue="1" operator="lessThan">
      <formula>0</formula>
    </cfRule>
    <cfRule type="cellIs" dxfId="2" priority="4" stopIfTrue="1" operator="greaterThan">
      <formula>0</formula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8"/>
  <sheetViews>
    <sheetView tabSelected="1" zoomScale="80" workbookViewId="0">
      <selection sqref="A1:N18"/>
    </sheetView>
  </sheetViews>
  <sheetFormatPr baseColWidth="10" defaultColWidth="8.7265625" defaultRowHeight="14.5" x14ac:dyDescent="0.35"/>
  <cols>
    <col min="1" max="1" width="24" customWidth="1"/>
    <col min="2" max="14" width="13" customWidth="1"/>
  </cols>
  <sheetData>
    <row r="1" spans="1:14" ht="16.5" customHeight="1" x14ac:dyDescent="0.35">
      <c r="A1" s="14"/>
      <c r="B1" s="15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12</v>
      </c>
    </row>
    <row r="2" spans="1:14" ht="16" customHeight="1" x14ac:dyDescent="0.35">
      <c r="A2" s="10" t="s">
        <v>13</v>
      </c>
      <c r="B2" s="11">
        <f>données!B39*données!$B$17</f>
        <v>1950</v>
      </c>
      <c r="C2" s="11">
        <f>données!C39*données!$B$17</f>
        <v>1050</v>
      </c>
      <c r="D2" s="11">
        <f>données!D39*données!$B$17</f>
        <v>3750</v>
      </c>
      <c r="E2" s="11">
        <f>données!E39*données!$B$17</f>
        <v>3300</v>
      </c>
      <c r="F2" s="11">
        <f>données!F39*données!$B$17</f>
        <v>1050</v>
      </c>
      <c r="G2" s="11">
        <f>données!G39*données!$B$17</f>
        <v>2250</v>
      </c>
      <c r="H2" s="11">
        <f>données!H39*données!$B$17</f>
        <v>1500</v>
      </c>
      <c r="I2" s="11">
        <f>données!I39*données!$B$17</f>
        <v>3600</v>
      </c>
      <c r="J2" s="11">
        <f>données!J39*données!$B$17</f>
        <v>900</v>
      </c>
      <c r="K2" s="11">
        <f>données!K39*données!$B$17</f>
        <v>1050</v>
      </c>
      <c r="L2" s="11">
        <f>données!L39*données!$B$17</f>
        <v>1500</v>
      </c>
      <c r="M2" s="11">
        <f>données!M39*données!$B$17</f>
        <v>1950</v>
      </c>
      <c r="N2" s="11">
        <f t="shared" ref="N2:N18" si="0">SUM(B2:M2)</f>
        <v>23850</v>
      </c>
    </row>
    <row r="3" spans="1:14" ht="16" customHeight="1" x14ac:dyDescent="0.35">
      <c r="A3" s="10" t="s">
        <v>14</v>
      </c>
      <c r="B3" s="11">
        <f>données!B40*données!$B$18</f>
        <v>2250</v>
      </c>
      <c r="C3" s="11">
        <f>données!C40*données!$B$18</f>
        <v>2250</v>
      </c>
      <c r="D3" s="11">
        <f>données!D40*données!$B$18</f>
        <v>5250</v>
      </c>
      <c r="E3" s="11">
        <f>données!E40*données!$B$18</f>
        <v>2000</v>
      </c>
      <c r="F3" s="11">
        <f>données!F40*données!$B$18</f>
        <v>4000</v>
      </c>
      <c r="G3" s="11">
        <f>données!G40*données!$B$18</f>
        <v>3500</v>
      </c>
      <c r="H3" s="11">
        <f>données!H40*données!$B$18</f>
        <v>5000</v>
      </c>
      <c r="I3" s="11">
        <f>données!I40*données!$B$18</f>
        <v>3750</v>
      </c>
      <c r="J3" s="11">
        <f>données!J40*données!$B$18</f>
        <v>2250</v>
      </c>
      <c r="K3" s="11">
        <f>données!K40*données!$B$18</f>
        <v>4250</v>
      </c>
      <c r="L3" s="11">
        <f>données!L40*données!$B$18</f>
        <v>5750</v>
      </c>
      <c r="M3" s="11">
        <f>données!M40*données!$B$18</f>
        <v>1500</v>
      </c>
      <c r="N3" s="11">
        <f t="shared" si="0"/>
        <v>41750</v>
      </c>
    </row>
    <row r="4" spans="1:14" ht="16" customHeight="1" x14ac:dyDescent="0.35">
      <c r="A4" s="10" t="s">
        <v>15</v>
      </c>
      <c r="B4" s="11">
        <f>données!B41*données!$B$19</f>
        <v>2800</v>
      </c>
      <c r="C4" s="11">
        <f>données!C41*données!$B$19</f>
        <v>4550</v>
      </c>
      <c r="D4" s="11">
        <f>données!D41*données!$B$19</f>
        <v>6300</v>
      </c>
      <c r="E4" s="11">
        <f>données!E41*données!$B$19</f>
        <v>3150</v>
      </c>
      <c r="F4" s="11">
        <f>données!F41*données!$B$19</f>
        <v>7350</v>
      </c>
      <c r="G4" s="11">
        <f>données!G41*données!$B$19</f>
        <v>8750</v>
      </c>
      <c r="H4" s="11">
        <f>données!H41*données!$B$19</f>
        <v>2450</v>
      </c>
      <c r="I4" s="11">
        <f>données!I41*données!$B$19</f>
        <v>4900</v>
      </c>
      <c r="J4" s="11">
        <f>données!J41*données!$B$19</f>
        <v>2800</v>
      </c>
      <c r="K4" s="11">
        <f>données!K41*données!$B$19</f>
        <v>2100</v>
      </c>
      <c r="L4" s="11">
        <f>données!L41*données!$B$19</f>
        <v>6650</v>
      </c>
      <c r="M4" s="11">
        <f>données!M41*données!$B$19</f>
        <v>4550</v>
      </c>
      <c r="N4" s="11">
        <f t="shared" si="0"/>
        <v>56350</v>
      </c>
    </row>
    <row r="5" spans="1:14" ht="16" customHeight="1" x14ac:dyDescent="0.35">
      <c r="A5" s="10" t="s">
        <v>16</v>
      </c>
      <c r="B5" s="11">
        <f>données!B42*données!$B$20</f>
        <v>390</v>
      </c>
      <c r="C5" s="11">
        <f>données!C42*données!$B$20</f>
        <v>750</v>
      </c>
      <c r="D5" s="11">
        <f>données!D42*données!$B$20</f>
        <v>180</v>
      </c>
      <c r="E5" s="11">
        <f>données!E42*données!$B$20</f>
        <v>570</v>
      </c>
      <c r="F5" s="11">
        <f>données!F42*données!$B$20</f>
        <v>750</v>
      </c>
      <c r="G5" s="11">
        <f>données!G42*données!$B$20</f>
        <v>390</v>
      </c>
      <c r="H5" s="11">
        <f>données!H42*données!$B$20</f>
        <v>510</v>
      </c>
      <c r="I5" s="11">
        <f>données!I42*données!$B$20</f>
        <v>330</v>
      </c>
      <c r="J5" s="11">
        <f>données!J42*données!$B$20</f>
        <v>450</v>
      </c>
      <c r="K5" s="11">
        <f>données!K42*données!$B$20</f>
        <v>180</v>
      </c>
      <c r="L5" s="11">
        <f>données!L42*données!$B$20</f>
        <v>630</v>
      </c>
      <c r="M5" s="11">
        <f>données!M42*données!$B$20</f>
        <v>180</v>
      </c>
      <c r="N5" s="11">
        <f t="shared" si="0"/>
        <v>5310</v>
      </c>
    </row>
    <row r="6" spans="1:14" ht="16" customHeight="1" x14ac:dyDescent="0.35">
      <c r="A6" s="10" t="s">
        <v>17</v>
      </c>
      <c r="B6" s="11">
        <f>données!B43*données!$B$21</f>
        <v>780</v>
      </c>
      <c r="C6" s="11">
        <f>données!C43*données!$B$21</f>
        <v>1080</v>
      </c>
      <c r="D6" s="11">
        <f>données!D43*données!$B$21</f>
        <v>840</v>
      </c>
      <c r="E6" s="11">
        <f>données!E43*données!$B$21</f>
        <v>1440</v>
      </c>
      <c r="F6" s="11">
        <f>données!F43*données!$B$21</f>
        <v>540</v>
      </c>
      <c r="G6" s="11">
        <f>données!G43*données!$B$21</f>
        <v>1080</v>
      </c>
      <c r="H6" s="11">
        <f>données!H43*données!$B$21</f>
        <v>1020</v>
      </c>
      <c r="I6" s="11">
        <f>données!I43*données!$B$21</f>
        <v>540</v>
      </c>
      <c r="J6" s="11">
        <f>données!J43*données!$B$21</f>
        <v>840</v>
      </c>
      <c r="K6" s="11">
        <f>données!K43*données!$B$21</f>
        <v>1320</v>
      </c>
      <c r="L6" s="11">
        <f>données!L43*données!$B$21</f>
        <v>840</v>
      </c>
      <c r="M6" s="11">
        <f>données!M43*données!$B$21</f>
        <v>1140</v>
      </c>
      <c r="N6" s="11">
        <f t="shared" si="0"/>
        <v>11460</v>
      </c>
    </row>
    <row r="7" spans="1:14" ht="16" customHeight="1" x14ac:dyDescent="0.35">
      <c r="A7" s="12" t="s">
        <v>18</v>
      </c>
      <c r="B7" s="13">
        <f t="shared" ref="B7:M7" si="1">SUM(B2:B6)</f>
        <v>8170</v>
      </c>
      <c r="C7" s="13">
        <f t="shared" si="1"/>
        <v>9680</v>
      </c>
      <c r="D7" s="13">
        <f t="shared" si="1"/>
        <v>16320</v>
      </c>
      <c r="E7" s="13">
        <f t="shared" si="1"/>
        <v>10460</v>
      </c>
      <c r="F7" s="13">
        <f t="shared" si="1"/>
        <v>13690</v>
      </c>
      <c r="G7" s="13">
        <f t="shared" si="1"/>
        <v>15970</v>
      </c>
      <c r="H7" s="13">
        <f t="shared" si="1"/>
        <v>10480</v>
      </c>
      <c r="I7" s="13">
        <f t="shared" si="1"/>
        <v>13120</v>
      </c>
      <c r="J7" s="13">
        <f t="shared" si="1"/>
        <v>7240</v>
      </c>
      <c r="K7" s="13">
        <f t="shared" si="1"/>
        <v>8900</v>
      </c>
      <c r="L7" s="13">
        <f t="shared" si="1"/>
        <v>15370</v>
      </c>
      <c r="M7" s="13">
        <f t="shared" si="1"/>
        <v>9320</v>
      </c>
      <c r="N7" s="13">
        <f t="shared" si="0"/>
        <v>138720</v>
      </c>
    </row>
    <row r="8" spans="1:14" ht="16" customHeight="1" x14ac:dyDescent="0.35">
      <c r="A8" s="12" t="s">
        <v>19</v>
      </c>
      <c r="B8" s="13">
        <f>données!$B$12</f>
        <v>4696.666666666667</v>
      </c>
      <c r="C8" s="13">
        <f>données!$B$12</f>
        <v>4696.666666666667</v>
      </c>
      <c r="D8" s="13">
        <f>données!$B$12</f>
        <v>4696.666666666667</v>
      </c>
      <c r="E8" s="13">
        <f>données!$B$12</f>
        <v>4696.666666666667</v>
      </c>
      <c r="F8" s="13">
        <f>données!$B$12</f>
        <v>4696.666666666667</v>
      </c>
      <c r="G8" s="13">
        <f>données!$B$12</f>
        <v>4696.666666666667</v>
      </c>
      <c r="H8" s="13">
        <f>données!$B$12</f>
        <v>4696.666666666667</v>
      </c>
      <c r="I8" s="13">
        <f>données!$B$12</f>
        <v>4696.666666666667</v>
      </c>
      <c r="J8" s="13">
        <f>données!$B$12</f>
        <v>4696.666666666667</v>
      </c>
      <c r="K8" s="13">
        <f>données!$B$12</f>
        <v>4696.666666666667</v>
      </c>
      <c r="L8" s="13">
        <f>données!$B$12</f>
        <v>4696.666666666667</v>
      </c>
      <c r="M8" s="13">
        <f>données!$B$12</f>
        <v>4696.666666666667</v>
      </c>
      <c r="N8" s="13">
        <f t="shared" si="0"/>
        <v>56359.999999999993</v>
      </c>
    </row>
    <row r="9" spans="1:14" ht="16" customHeight="1" x14ac:dyDescent="0.35">
      <c r="A9" s="10" t="s">
        <v>20</v>
      </c>
      <c r="B9" s="11">
        <f>données!B39*données!$B$26</f>
        <v>1300</v>
      </c>
      <c r="C9" s="11">
        <f>données!C39*données!$B$26</f>
        <v>700</v>
      </c>
      <c r="D9" s="11">
        <f>données!D39*données!$B$26</f>
        <v>2500</v>
      </c>
      <c r="E9" s="11">
        <f>données!E39*données!$B$26</f>
        <v>2200</v>
      </c>
      <c r="F9" s="11">
        <f>données!F39*données!$B$26</f>
        <v>700</v>
      </c>
      <c r="G9" s="11">
        <f>données!G39*données!$B$26</f>
        <v>1500</v>
      </c>
      <c r="H9" s="11">
        <f>données!H39*données!$B$26</f>
        <v>1000</v>
      </c>
      <c r="I9" s="11">
        <f>données!I39*données!$B$26</f>
        <v>2400</v>
      </c>
      <c r="J9" s="11">
        <f>données!J39*données!$B$26</f>
        <v>600</v>
      </c>
      <c r="K9" s="11">
        <f>données!K39*données!$B$26</f>
        <v>700</v>
      </c>
      <c r="L9" s="11">
        <f>données!L39*données!$B$26</f>
        <v>1000</v>
      </c>
      <c r="M9" s="11">
        <f>données!M39*données!$B$26</f>
        <v>1300</v>
      </c>
      <c r="N9" s="11">
        <f t="shared" si="0"/>
        <v>15900</v>
      </c>
    </row>
    <row r="10" spans="1:14" ht="16" customHeight="1" x14ac:dyDescent="0.35">
      <c r="A10" s="10" t="s">
        <v>21</v>
      </c>
      <c r="B10" s="11">
        <f>données!B40*données!$B$27</f>
        <v>1350</v>
      </c>
      <c r="C10" s="11">
        <f>données!C40*données!$B$27</f>
        <v>1350</v>
      </c>
      <c r="D10" s="11">
        <f>données!D40*données!$B$27</f>
        <v>3150</v>
      </c>
      <c r="E10" s="11">
        <f>données!E40*données!$B$27</f>
        <v>1200</v>
      </c>
      <c r="F10" s="11">
        <f>données!F40*données!$B$27</f>
        <v>2400</v>
      </c>
      <c r="G10" s="11">
        <f>données!G40*données!$B$27</f>
        <v>2100</v>
      </c>
      <c r="H10" s="11">
        <f>données!H40*données!$B$27</f>
        <v>3000</v>
      </c>
      <c r="I10" s="11">
        <f>données!I40*données!$B$27</f>
        <v>2250</v>
      </c>
      <c r="J10" s="11">
        <f>données!J40*données!$B$27</f>
        <v>1350</v>
      </c>
      <c r="K10" s="11">
        <f>données!K40*données!$B$27</f>
        <v>2550</v>
      </c>
      <c r="L10" s="11">
        <f>données!L40*données!$B$27</f>
        <v>3450</v>
      </c>
      <c r="M10" s="11">
        <f>données!M40*données!$B$27</f>
        <v>900</v>
      </c>
      <c r="N10" s="11">
        <f t="shared" si="0"/>
        <v>25050</v>
      </c>
    </row>
    <row r="11" spans="1:14" ht="16" customHeight="1" x14ac:dyDescent="0.35">
      <c r="A11" s="10" t="s">
        <v>22</v>
      </c>
      <c r="B11" s="11">
        <f>données!B41*données!$B$28</f>
        <v>1600</v>
      </c>
      <c r="C11" s="11">
        <f>données!C41*données!$B$28</f>
        <v>2600</v>
      </c>
      <c r="D11" s="11">
        <f>données!D41*données!$B$28</f>
        <v>3600</v>
      </c>
      <c r="E11" s="11">
        <f>données!E41*données!$B$28</f>
        <v>1800</v>
      </c>
      <c r="F11" s="11">
        <f>données!F41*données!$B$28</f>
        <v>4200</v>
      </c>
      <c r="G11" s="11">
        <f>données!G41*données!$B$28</f>
        <v>5000</v>
      </c>
      <c r="H11" s="11">
        <f>données!H41*données!$B$28</f>
        <v>1400</v>
      </c>
      <c r="I11" s="11">
        <f>données!I41*données!$B$28</f>
        <v>2800</v>
      </c>
      <c r="J11" s="11">
        <f>données!J41*données!$B$28</f>
        <v>1600</v>
      </c>
      <c r="K11" s="11">
        <f>données!K41*données!$B$28</f>
        <v>1200</v>
      </c>
      <c r="L11" s="11">
        <f>données!L41*données!$B$28</f>
        <v>3800</v>
      </c>
      <c r="M11" s="11">
        <f>données!M41*données!$B$28</f>
        <v>2600</v>
      </c>
      <c r="N11" s="11">
        <f t="shared" si="0"/>
        <v>32200</v>
      </c>
    </row>
    <row r="12" spans="1:14" ht="16" customHeight="1" x14ac:dyDescent="0.35">
      <c r="A12" s="10" t="s">
        <v>23</v>
      </c>
      <c r="B12" s="11">
        <f>données!B42*données!$B$29</f>
        <v>130</v>
      </c>
      <c r="C12" s="11">
        <f>données!C42*données!$B$29</f>
        <v>250</v>
      </c>
      <c r="D12" s="11">
        <f>données!D42*données!$B$29</f>
        <v>60</v>
      </c>
      <c r="E12" s="11">
        <f>données!E42*données!$B$29</f>
        <v>190</v>
      </c>
      <c r="F12" s="11">
        <f>données!F42*données!$B$29</f>
        <v>250</v>
      </c>
      <c r="G12" s="11">
        <f>données!G42*données!$B$29</f>
        <v>130</v>
      </c>
      <c r="H12" s="11">
        <f>données!H42*données!$B$29</f>
        <v>170</v>
      </c>
      <c r="I12" s="11">
        <f>données!I42*données!$B$29</f>
        <v>110</v>
      </c>
      <c r="J12" s="11">
        <f>données!J42*données!$B$29</f>
        <v>150</v>
      </c>
      <c r="K12" s="11">
        <f>données!K42*données!$B$29</f>
        <v>60</v>
      </c>
      <c r="L12" s="11">
        <f>données!L42*données!$B$29</f>
        <v>210</v>
      </c>
      <c r="M12" s="11">
        <f>données!M42*données!$B$29</f>
        <v>60</v>
      </c>
      <c r="N12" s="11">
        <f t="shared" si="0"/>
        <v>1770</v>
      </c>
    </row>
    <row r="13" spans="1:14" ht="16" customHeight="1" x14ac:dyDescent="0.35">
      <c r="A13" s="10" t="s">
        <v>24</v>
      </c>
      <c r="B13" s="11">
        <f>données!B43*données!$B$30</f>
        <v>260</v>
      </c>
      <c r="C13" s="11">
        <f>données!C43*données!$B$30</f>
        <v>360</v>
      </c>
      <c r="D13" s="11">
        <f>données!D43*données!$B$30</f>
        <v>280</v>
      </c>
      <c r="E13" s="11">
        <f>données!E43*données!$B$30</f>
        <v>480</v>
      </c>
      <c r="F13" s="11">
        <f>données!F43*données!$B$30</f>
        <v>180</v>
      </c>
      <c r="G13" s="11">
        <f>données!G43*données!$B$30</f>
        <v>360</v>
      </c>
      <c r="H13" s="11">
        <f>données!H43*données!$B$30</f>
        <v>340</v>
      </c>
      <c r="I13" s="11">
        <f>données!I43*données!$B$30</f>
        <v>180</v>
      </c>
      <c r="J13" s="11">
        <f>données!J43*données!$B$30</f>
        <v>280</v>
      </c>
      <c r="K13" s="11">
        <f>données!K43*données!$B$30</f>
        <v>440</v>
      </c>
      <c r="L13" s="11">
        <f>données!L43*données!$B$30</f>
        <v>280</v>
      </c>
      <c r="M13" s="11">
        <f>données!M43*données!$B$30</f>
        <v>380</v>
      </c>
      <c r="N13" s="11">
        <f t="shared" si="0"/>
        <v>3820</v>
      </c>
    </row>
    <row r="14" spans="1:14" ht="16" customHeight="1" x14ac:dyDescent="0.35">
      <c r="A14" s="10" t="s">
        <v>25</v>
      </c>
      <c r="B14" s="11">
        <f>SUM(B2:B4)*données!$E$32</f>
        <v>350</v>
      </c>
      <c r="C14" s="11">
        <f>SUM(C2:C4)*données!$E$32</f>
        <v>392.5</v>
      </c>
      <c r="D14" s="11">
        <f>SUM(D2:D4)*données!$E$32</f>
        <v>765</v>
      </c>
      <c r="E14" s="11">
        <f>SUM(E2:E4)*données!$E$32</f>
        <v>422.5</v>
      </c>
      <c r="F14" s="11">
        <f>SUM(F2:F4)*données!$E$32</f>
        <v>620</v>
      </c>
      <c r="G14" s="11">
        <f>SUM(G2:G4)*données!$E$32</f>
        <v>725</v>
      </c>
      <c r="H14" s="11">
        <f>SUM(H2:H4)*données!$E$32</f>
        <v>447.5</v>
      </c>
      <c r="I14" s="11">
        <f>SUM(I2:I4)*données!$E$32</f>
        <v>612.5</v>
      </c>
      <c r="J14" s="11">
        <f>SUM(J2:J4)*données!$E$32</f>
        <v>297.5</v>
      </c>
      <c r="K14" s="11">
        <f>SUM(K2:K4)*données!$E$32</f>
        <v>370</v>
      </c>
      <c r="L14" s="11">
        <f>SUM(L2:L4)*données!$E$32</f>
        <v>695</v>
      </c>
      <c r="M14" s="11">
        <f>SUM(M2:M4)*données!$E$32</f>
        <v>400</v>
      </c>
      <c r="N14" s="11">
        <f t="shared" si="0"/>
        <v>6097.5</v>
      </c>
    </row>
    <row r="15" spans="1:14" ht="16" customHeight="1" x14ac:dyDescent="0.35">
      <c r="A15" s="10" t="s">
        <v>26</v>
      </c>
      <c r="B15" s="11">
        <f>SUM(B5:B6)*données!$E$33</f>
        <v>58.5</v>
      </c>
      <c r="C15" s="11">
        <f>SUM(C5:C6)*données!$E$33</f>
        <v>91.5</v>
      </c>
      <c r="D15" s="11">
        <f>SUM(D5:D6)*données!$E$33</f>
        <v>51</v>
      </c>
      <c r="E15" s="11">
        <f>SUM(E5:E6)*données!$E$33</f>
        <v>100.5</v>
      </c>
      <c r="F15" s="11">
        <f>SUM(F5:F6)*données!$E$33</f>
        <v>64.5</v>
      </c>
      <c r="G15" s="11">
        <f>SUM(G5:G6)*données!$E$33</f>
        <v>73.5</v>
      </c>
      <c r="H15" s="11">
        <f>SUM(H5:H6)*données!$E$33</f>
        <v>76.5</v>
      </c>
      <c r="I15" s="11">
        <f>SUM(I5:I6)*données!$E$33</f>
        <v>43.5</v>
      </c>
      <c r="J15" s="11">
        <f>SUM(J5:J6)*données!$E$33</f>
        <v>64.5</v>
      </c>
      <c r="K15" s="11">
        <f>SUM(K5:K6)*données!$E$33</f>
        <v>75</v>
      </c>
      <c r="L15" s="11">
        <f>SUM(L5:L6)*données!$E$33</f>
        <v>73.5</v>
      </c>
      <c r="M15" s="11">
        <f>SUM(M5:M6)*données!$E$33</f>
        <v>66</v>
      </c>
      <c r="N15" s="11">
        <f t="shared" si="0"/>
        <v>838.5</v>
      </c>
    </row>
    <row r="16" spans="1:14" ht="16" customHeight="1" x14ac:dyDescent="0.35">
      <c r="A16" s="12" t="s">
        <v>27</v>
      </c>
      <c r="B16" s="13">
        <f t="shared" ref="B16:M16" si="2">SUM(B9:B15)</f>
        <v>5048.5</v>
      </c>
      <c r="C16" s="13">
        <f t="shared" si="2"/>
        <v>5744</v>
      </c>
      <c r="D16" s="13">
        <f t="shared" si="2"/>
        <v>10406</v>
      </c>
      <c r="E16" s="13">
        <f t="shared" si="2"/>
        <v>6393</v>
      </c>
      <c r="F16" s="13">
        <f t="shared" si="2"/>
        <v>8414.5</v>
      </c>
      <c r="G16" s="13">
        <f t="shared" si="2"/>
        <v>9888.5</v>
      </c>
      <c r="H16" s="13">
        <f t="shared" si="2"/>
        <v>6434</v>
      </c>
      <c r="I16" s="13">
        <f t="shared" si="2"/>
        <v>8396</v>
      </c>
      <c r="J16" s="13">
        <f t="shared" si="2"/>
        <v>4342</v>
      </c>
      <c r="K16" s="13">
        <f t="shared" si="2"/>
        <v>5395</v>
      </c>
      <c r="L16" s="13">
        <f t="shared" si="2"/>
        <v>9508.5</v>
      </c>
      <c r="M16" s="13">
        <f t="shared" si="2"/>
        <v>5706</v>
      </c>
      <c r="N16" s="13">
        <f t="shared" si="0"/>
        <v>85676</v>
      </c>
    </row>
    <row r="17" spans="1:14" ht="16" customHeight="1" x14ac:dyDescent="0.35">
      <c r="A17" s="12" t="s">
        <v>28</v>
      </c>
      <c r="B17" s="13">
        <f t="shared" ref="B17:M17" si="3">B8+B16</f>
        <v>9745.1666666666679</v>
      </c>
      <c r="C17" s="13">
        <f t="shared" si="3"/>
        <v>10440.666666666668</v>
      </c>
      <c r="D17" s="13">
        <f t="shared" si="3"/>
        <v>15102.666666666668</v>
      </c>
      <c r="E17" s="13">
        <f t="shared" si="3"/>
        <v>11089.666666666668</v>
      </c>
      <c r="F17" s="13">
        <f t="shared" si="3"/>
        <v>13111.166666666668</v>
      </c>
      <c r="G17" s="13">
        <f t="shared" si="3"/>
        <v>14585.166666666668</v>
      </c>
      <c r="H17" s="13">
        <f t="shared" si="3"/>
        <v>11130.666666666668</v>
      </c>
      <c r="I17" s="13">
        <f t="shared" si="3"/>
        <v>13092.666666666668</v>
      </c>
      <c r="J17" s="13">
        <f t="shared" si="3"/>
        <v>9038.6666666666679</v>
      </c>
      <c r="K17" s="13">
        <f t="shared" si="3"/>
        <v>10091.666666666668</v>
      </c>
      <c r="L17" s="13">
        <f t="shared" si="3"/>
        <v>14205.166666666668</v>
      </c>
      <c r="M17" s="13">
        <f t="shared" si="3"/>
        <v>10402.666666666668</v>
      </c>
      <c r="N17" s="13">
        <f t="shared" si="0"/>
        <v>142036.00000000003</v>
      </c>
    </row>
    <row r="18" spans="1:14" ht="16" customHeight="1" x14ac:dyDescent="0.35">
      <c r="A18" s="12" t="s">
        <v>29</v>
      </c>
      <c r="B18" s="13">
        <f t="shared" ref="B18:M18" si="4">B7-B17</f>
        <v>-1575.1666666666679</v>
      </c>
      <c r="C18" s="13">
        <f t="shared" si="4"/>
        <v>-760.66666666666788</v>
      </c>
      <c r="D18" s="13">
        <f t="shared" si="4"/>
        <v>1217.3333333333321</v>
      </c>
      <c r="E18" s="13">
        <f t="shared" si="4"/>
        <v>-629.66666666666788</v>
      </c>
      <c r="F18" s="13">
        <f t="shared" si="4"/>
        <v>578.83333333333212</v>
      </c>
      <c r="G18" s="13">
        <f t="shared" si="4"/>
        <v>1384.8333333333321</v>
      </c>
      <c r="H18" s="13">
        <f t="shared" si="4"/>
        <v>-650.66666666666788</v>
      </c>
      <c r="I18" s="13">
        <f t="shared" si="4"/>
        <v>27.333333333332121</v>
      </c>
      <c r="J18" s="13">
        <f t="shared" si="4"/>
        <v>-1798.6666666666679</v>
      </c>
      <c r="K18" s="13">
        <f t="shared" si="4"/>
        <v>-1191.6666666666679</v>
      </c>
      <c r="L18" s="13">
        <f t="shared" si="4"/>
        <v>1164.8333333333321</v>
      </c>
      <c r="M18" s="13">
        <f t="shared" si="4"/>
        <v>-1082.6666666666679</v>
      </c>
      <c r="N18" s="13">
        <f t="shared" si="0"/>
        <v>-3316.0000000000146</v>
      </c>
    </row>
  </sheetData>
  <conditionalFormatting sqref="B18:M18">
    <cfRule type="cellIs" dxfId="1" priority="3" stopIfTrue="1" operator="lessThan">
      <formula>0</formula>
    </cfRule>
    <cfRule type="cellIs" dxfId="0" priority="4" stopIfTrue="1" operator="greaterThan">
      <formula>0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données</vt:lpstr>
      <vt:lpstr>bilan2016</vt:lpstr>
      <vt:lpstr>simulation aide de l'état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Ewan Alexandre</cp:lastModifiedBy>
  <dcterms:created xsi:type="dcterms:W3CDTF">2026-09-17T14:24:33Z</dcterms:created>
  <dcterms:modified xsi:type="dcterms:W3CDTF">2026-09-17T15:23:50Z</dcterms:modified>
</cp:coreProperties>
</file>